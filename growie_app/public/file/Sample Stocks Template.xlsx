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s Breakdown (Scope Markets" sheetId="1" r:id="rId5"/>
  </sheets>
  <definedNames>
    <definedName hidden="1" localSheetId="0" name="_xlnm._FilterDatabase">'Shares Breakdown (Scope Markets'!$A$2:$M$3</definedName>
  </definedNames>
  <calcPr/>
</workbook>
</file>

<file path=xl/sharedStrings.xml><?xml version="1.0" encoding="utf-8"?>
<sst xmlns="http://schemas.openxmlformats.org/spreadsheetml/2006/main" count="37" uniqueCount="23">
  <si>
    <t>Stocks</t>
  </si>
  <si>
    <t>Purchase Dates</t>
  </si>
  <si>
    <t xml:space="preserve">Investment </t>
  </si>
  <si>
    <t>Ticker #</t>
  </si>
  <si>
    <t>Broker</t>
  </si>
  <si>
    <t>Shares Breakdown</t>
  </si>
  <si>
    <t>Buying Price</t>
  </si>
  <si>
    <t>Current Price</t>
  </si>
  <si>
    <t>Initial Investment Value</t>
  </si>
  <si>
    <t>Current Value</t>
  </si>
  <si>
    <t>Delta</t>
  </si>
  <si>
    <t>Percentage</t>
  </si>
  <si>
    <t>Owner of Share</t>
  </si>
  <si>
    <t>Goal</t>
  </si>
  <si>
    <t>UBER</t>
  </si>
  <si>
    <t>SCOPE</t>
  </si>
  <si>
    <t>Barbs</t>
  </si>
  <si>
    <t xml:space="preserve">Retirement </t>
  </si>
  <si>
    <t>SOLD STOCKS</t>
  </si>
  <si>
    <t>Purchase Period</t>
  </si>
  <si>
    <t>Sell date</t>
  </si>
  <si>
    <t>Ticker Number</t>
  </si>
  <si>
    <t>NASDAQ:NBIS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</si>
</sst>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&quot;-&quot;yy"/>
    <numFmt numFmtId="165" formatCode="[$$]#,##0.00"/>
    <numFmt numFmtId="166" formatCode="&quot;$&quot;#,##0.00"/>
    <numFmt numFmtId="167" formatCode="[$Ksh]#,##0.00"/>
    <numFmt numFmtId="168" formatCode="[$Ksh]#,##0"/>
  </numFmts>
  <fonts count="9">
    <font>
      <sz val="10.0"/>
      <color rgb="FF000000"/>
      <name val="Arial"/>
      <scheme val="minor"/>
    </font>
    <font>
      <sz val="26.0"/>
      <color theme="0"/>
      <name val="Pacifico"/>
    </font>
    <font/>
    <font>
      <sz val="11.0"/>
      <color theme="1"/>
      <name val="Trebuchet MS"/>
    </font>
    <font>
      <b/>
      <u/>
      <sz val="11.0"/>
      <color theme="1"/>
      <name val="Trebuchet MS"/>
    </font>
    <font>
      <b/>
      <u/>
      <sz val="11.0"/>
      <color theme="1"/>
      <name val="Trebuchet MS"/>
    </font>
    <font>
      <b/>
      <u/>
      <sz val="11.0"/>
      <color theme="1"/>
      <name val="Trebuchet MS"/>
    </font>
    <font>
      <sz val="26.0"/>
      <color rgb="FFFFFFFF"/>
      <name val="Pacifico"/>
    </font>
    <font>
      <sz val="11.0"/>
      <color theme="1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38761D"/>
      </lef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0" fontId="3" numFmtId="164" xfId="0" applyAlignment="1" applyBorder="1" applyFont="1" applyNumberFormat="1">
      <alignment horizontal="left"/>
    </xf>
    <xf borderId="4" fillId="0" fontId="3" numFmtId="0" xfId="0" applyBorder="1" applyFont="1"/>
    <xf borderId="4" fillId="0" fontId="3" numFmtId="3" xfId="0" applyAlignment="1" applyBorder="1" applyFont="1" applyNumberFormat="1">
      <alignment horizontal="left"/>
    </xf>
    <xf borderId="4" fillId="0" fontId="3" numFmtId="4" xfId="0" applyAlignment="1" applyBorder="1" applyFont="1" applyNumberFormat="1">
      <alignment horizontal="left"/>
    </xf>
    <xf borderId="4" fillId="0" fontId="3" numFmtId="165" xfId="0" applyAlignment="1" applyBorder="1" applyFont="1" applyNumberFormat="1">
      <alignment horizontal="center"/>
    </xf>
    <xf borderId="4" fillId="0" fontId="3" numFmtId="10" xfId="0" applyBorder="1" applyFont="1" applyNumberFormat="1"/>
    <xf borderId="4" fillId="0" fontId="3" numFmtId="166" xfId="0" applyAlignment="1" applyBorder="1" applyFont="1" applyNumberFormat="1">
      <alignment horizontal="center"/>
    </xf>
    <xf borderId="4" fillId="0" fontId="3" numFmtId="167" xfId="0" applyAlignment="1" applyBorder="1" applyFont="1" applyNumberFormat="1">
      <alignment horizontal="center"/>
    </xf>
    <xf borderId="4" fillId="0" fontId="3" numFmtId="168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5" numFmtId="4" xfId="0" applyAlignment="1" applyBorder="1" applyFont="1" applyNumberFormat="1">
      <alignment horizontal="center"/>
    </xf>
    <xf borderId="4" fillId="0" fontId="6" numFmtId="165" xfId="0" applyAlignment="1" applyBorder="1" applyFont="1" applyNumberFormat="1">
      <alignment horizontal="center"/>
    </xf>
    <xf borderId="1" fillId="2" fontId="7" numFmtId="0" xfId="0" applyAlignment="1" applyBorder="1" applyFont="1">
      <alignment horizontal="center" vertical="center"/>
    </xf>
    <xf borderId="0" fillId="0" fontId="8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38"/>
    <col customWidth="1" min="2" max="2" width="29.75"/>
    <col customWidth="1" min="3" max="4" width="12.63"/>
    <col customWidth="1" min="5" max="5" width="15.88"/>
    <col customWidth="1" min="6" max="6" width="12.63"/>
    <col customWidth="1" min="8" max="8" width="20.38"/>
    <col customWidth="1" min="12" max="12" width="13.63"/>
    <col customWidth="1" min="14" max="14" width="3.88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5.75" customHeight="1">
      <c r="A3" s="5">
        <v>45965.0</v>
      </c>
      <c r="B3" s="6" t="s">
        <v>14</v>
      </c>
      <c r="C3" s="7" t="s">
        <v>14</v>
      </c>
      <c r="D3" s="7" t="s">
        <v>15</v>
      </c>
      <c r="E3" s="8">
        <f>0.01</f>
        <v>0.01</v>
      </c>
      <c r="F3" s="9">
        <f>92.4</f>
        <v>92.4</v>
      </c>
      <c r="G3" s="9">
        <f>IFERROR(__xludf.DUMMYFUNCTION("IF(C3&lt;&gt;"""", GOOGLEFINANCE(C3, ""price""), """")"),73.61)</f>
        <v>73.61</v>
      </c>
      <c r="H3" s="9">
        <f>E3*F3</f>
        <v>0.924</v>
      </c>
      <c r="I3" s="9">
        <f>G3*E3</f>
        <v>0.7361</v>
      </c>
      <c r="J3" s="9">
        <f>I3-H3</f>
        <v>-0.1879</v>
      </c>
      <c r="K3" s="10">
        <f>J3/H3</f>
        <v>-0.2033549784</v>
      </c>
      <c r="L3" s="6" t="s">
        <v>16</v>
      </c>
      <c r="M3" s="6" t="s">
        <v>17</v>
      </c>
    </row>
    <row r="4" ht="15.75" customHeight="1">
      <c r="A4" s="5"/>
      <c r="B4" s="6"/>
      <c r="C4" s="7"/>
      <c r="D4" s="7"/>
      <c r="E4" s="7"/>
      <c r="F4" s="11"/>
      <c r="G4" s="12"/>
      <c r="H4" s="13"/>
      <c r="I4" s="13"/>
      <c r="J4" s="13"/>
      <c r="K4" s="6"/>
      <c r="L4" s="6"/>
      <c r="M4" s="6"/>
    </row>
    <row r="5" ht="15.75" customHeight="1">
      <c r="A5" s="6"/>
      <c r="B5" s="6"/>
      <c r="C5" s="14"/>
      <c r="D5" s="14"/>
      <c r="E5" s="15">
        <f>SUM(E3:E4)</f>
        <v>0.01</v>
      </c>
      <c r="F5" s="6"/>
      <c r="G5" s="6"/>
      <c r="H5" s="16">
        <f t="shared" ref="H5:I5" si="1">SUM(H3:H4)</f>
        <v>0.924</v>
      </c>
      <c r="I5" s="16">
        <f t="shared" si="1"/>
        <v>0.7361</v>
      </c>
      <c r="J5" s="9">
        <f>I5-H5</f>
        <v>-0.1879</v>
      </c>
      <c r="K5" s="10">
        <f>J5/H5</f>
        <v>-0.2033549784</v>
      </c>
      <c r="L5" s="10"/>
      <c r="M5" s="6"/>
    </row>
    <row r="6" ht="15.75" customHeight="1"/>
    <row r="7" ht="15.75" customHeight="1"/>
    <row r="8" ht="15.75" customHeight="1"/>
    <row r="9" ht="15.75" customHeight="1"/>
    <row r="10" ht="15.75" customHeight="1">
      <c r="A10" s="17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 ht="15.75" customHeight="1">
      <c r="A11" s="4" t="s">
        <v>19</v>
      </c>
      <c r="B11" s="4" t="s">
        <v>20</v>
      </c>
      <c r="C11" s="4" t="s">
        <v>21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  <c r="L11" s="4" t="s">
        <v>12</v>
      </c>
      <c r="M11" s="4" t="s">
        <v>13</v>
      </c>
    </row>
    <row r="12" ht="15.75" customHeight="1">
      <c r="A12" s="5">
        <v>45972.0</v>
      </c>
      <c r="B12" s="5">
        <v>46128.0</v>
      </c>
      <c r="C12" s="7" t="s">
        <v>22</v>
      </c>
      <c r="D12" s="7" t="s">
        <v>15</v>
      </c>
      <c r="E12" s="8">
        <v>0.95</v>
      </c>
      <c r="F12" s="9">
        <v>105.72</v>
      </c>
      <c r="G12" s="9">
        <f>166.43</f>
        <v>166.43</v>
      </c>
      <c r="H12" s="9">
        <f>E12*F12</f>
        <v>100.434</v>
      </c>
      <c r="I12" s="9">
        <f>G12*E12</f>
        <v>158.1085</v>
      </c>
      <c r="J12" s="9">
        <f>I12-H12</f>
        <v>57.6745</v>
      </c>
      <c r="K12" s="10">
        <f>J12/H12</f>
        <v>0.5742527431</v>
      </c>
      <c r="L12" s="6" t="s">
        <v>16</v>
      </c>
      <c r="M12" s="6" t="s">
        <v>17</v>
      </c>
    </row>
    <row r="13" ht="15.75" customHeight="1"/>
    <row r="14" ht="15.75" customHeight="1">
      <c r="I14" s="18">
        <f>SUM(I11:I12)</f>
        <v>158.1085</v>
      </c>
      <c r="J14" s="18">
        <f>J12</f>
        <v>57.6745</v>
      </c>
      <c r="K14" s="18">
        <f>I14-J14</f>
        <v>100.434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autoFilter ref="$A$2:$M$3">
    <sortState ref="A2:M3">
      <sortCondition ref="A2:A3"/>
    </sortState>
  </autoFilter>
  <mergeCells count="2">
    <mergeCell ref="A1:M1"/>
    <mergeCell ref="A10:M10"/>
  </mergeCells>
  <conditionalFormatting sqref="J3:J6 J12">
    <cfRule type="cellIs" dxfId="0" priority="1" operator="greaterThan">
      <formula>0</formula>
    </cfRule>
  </conditionalFormatting>
  <conditionalFormatting sqref="K3">
    <cfRule type="cellIs" dxfId="1" priority="2" operator="lessThan">
      <formula>0</formula>
    </cfRule>
  </conditionalFormatting>
  <conditionalFormatting sqref="K5">
    <cfRule type="cellIs" dxfId="0" priority="3" operator="greaterThan">
      <formula>0</formula>
    </cfRule>
  </conditionalFormatting>
  <conditionalFormatting sqref="J3:J6 J12:K12">
    <cfRule type="cellIs" dxfId="1" priority="4" operator="lessThan">
      <formula>0</formula>
    </cfRule>
  </conditionalFormatting>
  <dataValidations>
    <dataValidation type="custom" allowBlank="1" showDropDown="1" sqref="A3:A4 A12:B12">
      <formula1>OR(NOT(ISERROR(DATEVALUE(A3))), AND(ISNUMBER(A3), LEFT(CELL("format", A3))="D"))</formula1>
    </dataValidation>
  </dataValidations>
  <printOptions/>
  <pageMargins bottom="0.75" footer="0.0" header="0.0" left="0.7" right="0.7" top="0.75"/>
  <pageSetup orientation="landscape"/>
  <drawing r:id="rId1"/>
</worksheet>
</file>