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2da6388213ebdb1/Growe/"/>
    </mc:Choice>
  </mc:AlternateContent>
  <xr:revisionPtr revIDLastSave="49" documentId="8_{B00D6C87-FDB2-491E-8F4F-0549F9C0EDBF}" xr6:coauthVersionLast="47" xr6:coauthVersionMax="47" xr10:uidLastSave="{3C2ACD35-B578-4044-A258-80C31DD560B7}"/>
  <bookViews>
    <workbookView xWindow="-120" yWindow="-120" windowWidth="20730" windowHeight="11160" xr2:uid="{00000000-000D-0000-FFFF-FFFF00000000}"/>
  </bookViews>
  <sheets>
    <sheet name="Shares Breakdown (Scope Markets" sheetId="1" r:id="rId1"/>
  </sheets>
  <definedNames>
    <definedName name="_xlnm._FilterDatabase" localSheetId="0" hidden="1">'Shares Breakdown (Scope Markets'!$A$2:$I$3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E13" i="1"/>
</calcChain>
</file>

<file path=xl/sharedStrings.xml><?xml version="1.0" encoding="utf-8"?>
<sst xmlns="http://schemas.openxmlformats.org/spreadsheetml/2006/main" count="64" uniqueCount="28">
  <si>
    <t>Purchase Dates</t>
  </si>
  <si>
    <t xml:space="preserve">Investment </t>
  </si>
  <si>
    <t>Ticker #</t>
  </si>
  <si>
    <t>Broker</t>
  </si>
  <si>
    <t>Shares Breakdown</t>
  </si>
  <si>
    <t>Buying Price</t>
  </si>
  <si>
    <t>Current Price</t>
  </si>
  <si>
    <t>Initial Investment Value</t>
  </si>
  <si>
    <t>Goal</t>
  </si>
  <si>
    <t>UBER</t>
  </si>
  <si>
    <t>SCOPE</t>
  </si>
  <si>
    <t xml:space="preserve">Retirement </t>
  </si>
  <si>
    <t>Purchase Period</t>
  </si>
  <si>
    <t>Sell date</t>
  </si>
  <si>
    <t>Ticker Number</t>
  </si>
  <si>
    <t>NVDA</t>
  </si>
  <si>
    <t>TSLA</t>
  </si>
  <si>
    <t>AAPL</t>
  </si>
  <si>
    <t>BATS.L</t>
  </si>
  <si>
    <t>SCOM</t>
  </si>
  <si>
    <t>BAT</t>
  </si>
  <si>
    <t>EQTY</t>
  </si>
  <si>
    <t>Currency</t>
  </si>
  <si>
    <t>US$</t>
  </si>
  <si>
    <t>KES</t>
  </si>
  <si>
    <t>Change in Investment Value</t>
  </si>
  <si>
    <t>Purchased Stocks</t>
  </si>
  <si>
    <t>Sold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</si>
</sst>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&quot;-&quot;mmm&quot;-&quot;yy"/>
    <numFmt numFmtId="165" formatCode="[$$]#,##0.00"/>
    <numFmt numFmtId="166" formatCode="[$Ksh]#,##0.00"/>
  </numFmts>
  <fonts count="11" x14ac:knownFonts="1">
    <font>
      <sz val="10"/>
      <color rgb="FF000000"/>
      <name val="Arial"/>
      <scheme val="minor"/>
    </font>
    <font>
      <sz val="11"/>
      <color theme="1"/>
      <name val="Trebuchet MS"/>
    </font>
    <font>
      <b/>
      <u/>
      <sz val="11"/>
      <color theme="1"/>
      <name val="Trebuchet MS"/>
    </font>
    <font>
      <b/>
      <u/>
      <sz val="11"/>
      <color theme="1"/>
      <name val="Trebuchet MS"/>
    </font>
    <font>
      <b/>
      <u/>
      <sz val="11"/>
      <color theme="1"/>
      <name val="Trebuchet MS"/>
    </font>
    <font>
      <sz val="10"/>
      <color rgb="FF000000"/>
      <name val="Arial"/>
      <scheme val="minor"/>
    </font>
    <font>
      <sz val="11"/>
      <color theme="1"/>
      <name val="Trebuchet MS"/>
      <family val="2"/>
    </font>
    <font>
      <sz val="10"/>
      <color rgb="FF000000"/>
      <name val="Arial"/>
      <family val="2"/>
      <scheme val="minor"/>
    </font>
    <font>
      <sz val="24"/>
      <color theme="0"/>
      <name val="Nirmala UI"/>
      <family val="2"/>
    </font>
    <font>
      <sz val="24"/>
      <name val="Nirmala UI"/>
      <family val="2"/>
    </font>
    <font>
      <sz val="24"/>
      <color rgb="FF000000"/>
      <name val="Nirmala UI"/>
      <family val="2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rgb="FF38761D"/>
      </left>
      <right/>
      <top style="thin">
        <color rgb="FF38761D"/>
      </top>
      <bottom style="thin">
        <color rgb="FF38761D"/>
      </bottom>
      <diagonal/>
    </border>
    <border>
      <left/>
      <right/>
      <top style="thin">
        <color rgb="FF38761D"/>
      </top>
      <bottom style="thin">
        <color rgb="FF38761D"/>
      </bottom>
      <diagonal/>
    </border>
    <border>
      <left/>
      <right style="thin">
        <color rgb="FF38761D"/>
      </right>
      <top style="thin">
        <color rgb="FF38761D"/>
      </top>
      <bottom style="thin">
        <color rgb="FF38761D"/>
      </bottom>
      <diagonal/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9">
    <xf numFmtId="0" fontId="0" fillId="0" borderId="0" xfId="0"/>
    <xf numFmtId="0" fontId="1" fillId="3" borderId="4" xfId="0" applyFont="1" applyFill="1" applyBorder="1"/>
    <xf numFmtId="164" fontId="1" fillId="0" borderId="4" xfId="0" applyNumberFormat="1" applyFont="1" applyBorder="1" applyAlignment="1">
      <alignment horizontal="left"/>
    </xf>
    <xf numFmtId="0" fontId="1" fillId="0" borderId="4" xfId="0" applyFont="1" applyBorder="1"/>
    <xf numFmtId="3" fontId="1" fillId="0" borderId="4" xfId="0" applyNumberFormat="1" applyFont="1" applyBorder="1" applyAlignment="1">
      <alignment horizontal="left"/>
    </xf>
    <xf numFmtId="4" fontId="1" fillId="0" borderId="4" xfId="0" applyNumberFormat="1" applyFont="1" applyBorder="1" applyAlignment="1">
      <alignment horizontal="left"/>
    </xf>
    <xf numFmtId="165" fontId="1" fillId="0" borderId="4" xfId="0" applyNumberFormat="1" applyFont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3" fontId="6" fillId="0" borderId="4" xfId="0" applyNumberFormat="1" applyFont="1" applyBorder="1" applyAlignment="1">
      <alignment horizontal="left"/>
    </xf>
    <xf numFmtId="0" fontId="7" fillId="0" borderId="0" xfId="0" applyFont="1"/>
    <xf numFmtId="43" fontId="1" fillId="0" borderId="4" xfId="1" applyFont="1" applyBorder="1" applyAlignment="1">
      <alignment horizontal="left"/>
    </xf>
    <xf numFmtId="44" fontId="1" fillId="0" borderId="4" xfId="2" applyFont="1" applyBorder="1" applyAlignment="1">
      <alignment horizontal="center"/>
    </xf>
    <xf numFmtId="44" fontId="4" fillId="0" borderId="4" xfId="2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10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65"/>
  <sheetViews>
    <sheetView showGridLines="0" tabSelected="1" zoomScale="90" zoomScaleNormal="90" workbookViewId="0">
      <selection activeCell="A17" sqref="A17"/>
    </sheetView>
  </sheetViews>
  <sheetFormatPr defaultColWidth="12.5703125" defaultRowHeight="15" customHeight="1" x14ac:dyDescent="0.2"/>
  <cols>
    <col min="1" max="1" width="20.140625" customWidth="1"/>
    <col min="2" max="2" width="20.28515625" customWidth="1"/>
    <col min="3" max="4" width="12.5703125" customWidth="1"/>
    <col min="5" max="5" width="15.85546875" customWidth="1"/>
    <col min="6" max="6" width="12.5703125" customWidth="1"/>
    <col min="8" max="8" width="20.42578125" customWidth="1"/>
    <col min="10" max="10" width="3.85546875" customWidth="1"/>
  </cols>
  <sheetData>
    <row r="1" spans="1:9" s="18" customFormat="1" ht="30" customHeight="1" x14ac:dyDescent="0.7">
      <c r="A1" s="15" t="s">
        <v>26</v>
      </c>
      <c r="B1" s="16"/>
      <c r="C1" s="16"/>
      <c r="D1" s="16"/>
      <c r="E1" s="16"/>
      <c r="F1" s="16"/>
      <c r="G1" s="16"/>
      <c r="H1" s="16"/>
      <c r="I1" s="17"/>
    </row>
    <row r="2" spans="1:9" ht="15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22</v>
      </c>
      <c r="H2" s="1" t="s">
        <v>7</v>
      </c>
      <c r="I2" s="1" t="s">
        <v>8</v>
      </c>
    </row>
    <row r="3" spans="1:9" ht="15.75" customHeight="1" x14ac:dyDescent="0.3">
      <c r="A3" s="2">
        <v>45959</v>
      </c>
      <c r="B3" s="3" t="s">
        <v>9</v>
      </c>
      <c r="C3" s="4" t="s">
        <v>9</v>
      </c>
      <c r="D3" s="4" t="s">
        <v>10</v>
      </c>
      <c r="E3" s="11">
        <v>5</v>
      </c>
      <c r="F3" s="12">
        <v>95.76</v>
      </c>
      <c r="G3" s="6" t="s">
        <v>23</v>
      </c>
      <c r="H3" s="12">
        <f>E3*F3</f>
        <v>478.8</v>
      </c>
      <c r="I3" s="3" t="s">
        <v>11</v>
      </c>
    </row>
    <row r="4" spans="1:9" ht="15.75" customHeight="1" x14ac:dyDescent="0.3">
      <c r="A4" s="2">
        <v>45959</v>
      </c>
      <c r="B4" s="3" t="s">
        <v>15</v>
      </c>
      <c r="C4" s="4" t="s">
        <v>15</v>
      </c>
      <c r="D4" s="9" t="s">
        <v>10</v>
      </c>
      <c r="E4" s="11">
        <v>10</v>
      </c>
      <c r="F4" s="12">
        <v>208.42</v>
      </c>
      <c r="G4" s="7" t="s">
        <v>23</v>
      </c>
      <c r="H4" s="12">
        <f t="shared" ref="H4:H11" si="0">E4*F4</f>
        <v>2084.1999999999998</v>
      </c>
      <c r="I4" s="3"/>
    </row>
    <row r="5" spans="1:9" ht="15.75" customHeight="1" x14ac:dyDescent="0.3">
      <c r="A5" s="2">
        <v>45959</v>
      </c>
      <c r="B5" s="3" t="s">
        <v>16</v>
      </c>
      <c r="C5" s="4" t="s">
        <v>16</v>
      </c>
      <c r="D5" s="9" t="s">
        <v>10</v>
      </c>
      <c r="E5" s="11">
        <v>10</v>
      </c>
      <c r="F5" s="12">
        <v>461.51</v>
      </c>
      <c r="G5" s="7" t="s">
        <v>23</v>
      </c>
      <c r="H5" s="12">
        <f t="shared" si="0"/>
        <v>4615.1000000000004</v>
      </c>
      <c r="I5" s="3"/>
    </row>
    <row r="6" spans="1:9" ht="15.75" customHeight="1" x14ac:dyDescent="0.3">
      <c r="A6" s="2">
        <v>45959</v>
      </c>
      <c r="B6" s="3" t="s">
        <v>17</v>
      </c>
      <c r="C6" s="4" t="s">
        <v>17</v>
      </c>
      <c r="D6" s="9" t="s">
        <v>10</v>
      </c>
      <c r="E6" s="11">
        <v>10</v>
      </c>
      <c r="F6" s="12">
        <v>269.7</v>
      </c>
      <c r="G6" s="7" t="s">
        <v>23</v>
      </c>
      <c r="H6" s="12">
        <f t="shared" si="0"/>
        <v>2697</v>
      </c>
      <c r="I6" s="3"/>
    </row>
    <row r="7" spans="1:9" ht="15.75" customHeight="1" x14ac:dyDescent="0.3">
      <c r="A7" s="2">
        <v>45959</v>
      </c>
      <c r="B7" s="4" t="s">
        <v>18</v>
      </c>
      <c r="C7" s="4" t="s">
        <v>18</v>
      </c>
      <c r="D7" s="9" t="s">
        <v>10</v>
      </c>
      <c r="E7" s="11">
        <v>1</v>
      </c>
      <c r="F7" s="12">
        <v>3920</v>
      </c>
      <c r="G7" s="7" t="s">
        <v>23</v>
      </c>
      <c r="H7" s="12">
        <f t="shared" si="0"/>
        <v>3920</v>
      </c>
      <c r="I7" s="3"/>
    </row>
    <row r="8" spans="1:9" ht="15.75" customHeight="1" x14ac:dyDescent="0.3">
      <c r="A8" s="2">
        <v>45992</v>
      </c>
      <c r="B8" s="3" t="s">
        <v>9</v>
      </c>
      <c r="C8" s="4" t="s">
        <v>9</v>
      </c>
      <c r="D8" s="4" t="s">
        <v>10</v>
      </c>
      <c r="E8" s="11">
        <v>5</v>
      </c>
      <c r="F8" s="12">
        <v>86.57</v>
      </c>
      <c r="G8" s="7" t="s">
        <v>23</v>
      </c>
      <c r="H8" s="12">
        <f t="shared" si="0"/>
        <v>432.84999999999997</v>
      </c>
      <c r="I8" s="3"/>
    </row>
    <row r="9" spans="1:9" ht="15.75" customHeight="1" x14ac:dyDescent="0.3">
      <c r="A9" s="2">
        <v>45954</v>
      </c>
      <c r="B9" s="3" t="s">
        <v>19</v>
      </c>
      <c r="C9" s="4" t="s">
        <v>19</v>
      </c>
      <c r="D9" s="9" t="s">
        <v>10</v>
      </c>
      <c r="E9" s="11">
        <v>10000</v>
      </c>
      <c r="F9" s="12">
        <v>0.216</v>
      </c>
      <c r="G9" s="7" t="s">
        <v>24</v>
      </c>
      <c r="H9" s="12">
        <f t="shared" si="0"/>
        <v>2160</v>
      </c>
      <c r="I9" s="3"/>
    </row>
    <row r="10" spans="1:9" ht="15.75" customHeight="1" x14ac:dyDescent="0.3">
      <c r="A10" s="2">
        <v>45959</v>
      </c>
      <c r="B10" s="3" t="s">
        <v>20</v>
      </c>
      <c r="C10" s="4" t="s">
        <v>20</v>
      </c>
      <c r="D10" s="9" t="s">
        <v>10</v>
      </c>
      <c r="E10" s="11">
        <v>500</v>
      </c>
      <c r="F10" s="12">
        <v>2.92</v>
      </c>
      <c r="G10" s="7" t="s">
        <v>24</v>
      </c>
      <c r="H10" s="12">
        <f t="shared" si="0"/>
        <v>1460</v>
      </c>
      <c r="I10" s="3"/>
    </row>
    <row r="11" spans="1:9" ht="15.75" customHeight="1" x14ac:dyDescent="0.3">
      <c r="A11" s="2">
        <v>45992</v>
      </c>
      <c r="B11" s="3" t="s">
        <v>19</v>
      </c>
      <c r="C11" s="3" t="s">
        <v>19</v>
      </c>
      <c r="D11" s="9" t="s">
        <v>10</v>
      </c>
      <c r="E11" s="11">
        <v>3000</v>
      </c>
      <c r="F11" s="12">
        <v>0.21</v>
      </c>
      <c r="G11" s="7" t="s">
        <v>24</v>
      </c>
      <c r="H11" s="12">
        <f t="shared" si="0"/>
        <v>630</v>
      </c>
      <c r="I11" s="3"/>
    </row>
    <row r="12" spans="1:9" ht="15.75" customHeight="1" x14ac:dyDescent="0.3">
      <c r="A12" s="2">
        <v>45959</v>
      </c>
      <c r="B12" s="10" t="s">
        <v>21</v>
      </c>
      <c r="C12" s="4" t="s">
        <v>21</v>
      </c>
      <c r="D12" s="9" t="s">
        <v>10</v>
      </c>
      <c r="E12" s="11">
        <v>6000</v>
      </c>
      <c r="F12" s="12">
        <v>0.39</v>
      </c>
      <c r="G12" s="7" t="s">
        <v>24</v>
      </c>
      <c r="H12" s="12">
        <f>E12*F12</f>
        <v>2340</v>
      </c>
      <c r="I12" s="3"/>
    </row>
    <row r="13" spans="1:9" ht="15.75" customHeight="1" x14ac:dyDescent="0.3">
      <c r="A13" s="3"/>
      <c r="B13" s="3"/>
      <c r="C13" s="8"/>
      <c r="D13" s="8"/>
      <c r="E13" s="14">
        <f>SUM(E3:E12)</f>
        <v>19541</v>
      </c>
      <c r="F13" s="3"/>
      <c r="G13" s="3"/>
      <c r="H13" s="13">
        <f>SUM(H3:H12)</f>
        <v>20817.95</v>
      </c>
      <c r="I13" s="3"/>
    </row>
    <row r="14" spans="1:9" ht="15.75" customHeight="1" x14ac:dyDescent="0.2"/>
    <row r="15" spans="1:9" ht="15.75" customHeight="1" x14ac:dyDescent="0.2"/>
    <row r="16" spans="1:9" s="18" customFormat="1" ht="30" customHeight="1" x14ac:dyDescent="0.7">
      <c r="A16" s="15" t="s">
        <v>27</v>
      </c>
      <c r="B16" s="16"/>
      <c r="C16" s="16"/>
      <c r="D16" s="16"/>
      <c r="E16" s="16"/>
      <c r="F16" s="16"/>
      <c r="G16" s="16"/>
      <c r="H16" s="16"/>
      <c r="I16" s="17"/>
    </row>
    <row r="17" spans="1:9" ht="15.75" customHeight="1" x14ac:dyDescent="0.3">
      <c r="A17" s="1" t="s">
        <v>12</v>
      </c>
      <c r="B17" s="1" t="s">
        <v>13</v>
      </c>
      <c r="C17" s="1" t="s">
        <v>14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25</v>
      </c>
      <c r="I17" s="1" t="s">
        <v>8</v>
      </c>
    </row>
    <row r="18" spans="1:9" ht="15.75" customHeight="1" x14ac:dyDescent="0.3">
      <c r="A18" s="2">
        <v>45992</v>
      </c>
      <c r="B18" s="2">
        <v>46083</v>
      </c>
      <c r="C18" s="3" t="s">
        <v>19</v>
      </c>
      <c r="D18" s="4" t="s">
        <v>10</v>
      </c>
      <c r="E18" s="5">
        <v>1500</v>
      </c>
      <c r="F18" s="6">
        <v>0.21</v>
      </c>
      <c r="G18" s="6"/>
      <c r="H18" s="6"/>
      <c r="I18" s="3" t="s">
        <v>11</v>
      </c>
    </row>
    <row r="19" spans="1:9" ht="15.75" customHeight="1" x14ac:dyDescent="0.3">
      <c r="A19" s="2"/>
      <c r="B19" s="2"/>
      <c r="C19" s="4"/>
      <c r="D19" s="4"/>
      <c r="E19" s="5"/>
      <c r="F19" s="6"/>
      <c r="G19" s="6"/>
      <c r="H19" s="6"/>
      <c r="I19" s="3"/>
    </row>
    <row r="20" spans="1:9" ht="15.75" customHeight="1" x14ac:dyDescent="0.3">
      <c r="A20" s="2"/>
      <c r="B20" s="2"/>
      <c r="C20" s="4"/>
      <c r="D20" s="4"/>
      <c r="E20" s="5"/>
      <c r="F20" s="6"/>
      <c r="G20" s="6"/>
      <c r="H20" s="6"/>
      <c r="I20" s="3"/>
    </row>
    <row r="21" spans="1:9" ht="15.75" customHeight="1" x14ac:dyDescent="0.2"/>
    <row r="22" spans="1:9" ht="15.75" customHeight="1" x14ac:dyDescent="0.2"/>
    <row r="23" spans="1:9" ht="15.75" customHeight="1" x14ac:dyDescent="0.2"/>
    <row r="24" spans="1:9" ht="15.75" customHeight="1" x14ac:dyDescent="0.2"/>
    <row r="25" spans="1:9" ht="15.75" customHeight="1" x14ac:dyDescent="0.2"/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</sheetData>
  <autoFilter ref="A2:I3" xr:uid="{00000000-0009-0000-0000-000000000000}">
    <sortState xmlns:xlrd2="http://schemas.microsoft.com/office/spreadsheetml/2017/richdata2" ref="A2:I3">
      <sortCondition ref="A2:A3"/>
    </sortState>
  </autoFilter>
  <mergeCells count="2">
    <mergeCell ref="A1:I1"/>
    <mergeCell ref="A16:I16"/>
  </mergeCells>
  <dataValidations count="1">
    <dataValidation type="custom" allowBlank="1" showDropDown="1" sqref="A3:A12 A18:B18" xr:uid="{00000000-0002-0000-0000-000000000000}">
      <formula1>OR(NOT(ISERROR(DATEVALUE(A3))), AND(ISNUMBER(A3), LEFT(CELL("format", A3))="D"))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Shares Breakdown (Scope Markets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Jackson Omondi</cp:lastModifiedBy>
  <dcterms:created xsi:type="dcterms:W3CDTF">2026-05-24T19:31:23Z</dcterms:created>
  <dcterms:modified xsi:type="dcterms:W3CDTF">2026-05-25T19:19:03Z</dcterms:modified>
</cp:coreProperties>
</file>